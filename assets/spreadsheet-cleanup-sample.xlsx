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7f4ab5514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 Raw" sheetId="1" r:id="Rb9d01ca1983d4ee4"/>
    <x:sheet xmlns:r="http://schemas.openxmlformats.org/officeDocument/2006/relationships" name="Cleaned Data" sheetId="2" r:id="R75eb2dbf19884705"/>
    <x:sheet xmlns:r="http://schemas.openxmlformats.org/officeDocument/2006/relationships" name="Dashboard" sheetId="3" r:id="Ra1f7de70b2ef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635D"/>
      <x:name val="Carlito"/>
    </x:font>
    <x:font>
      <x:b/>
      <x:sz val="11"/>
      <x:color rgb="FFFFFFFF"/>
      <x:name val="Carlito"/>
    </x:font>
    <x:font>
      <x:sz val="11"/>
      <x:color rgb="FF18201C"/>
      <x:name val="Carlito"/>
    </x:font>
    <x:font>
      <x:b/>
      <x:sz val="20"/>
      <x:color rgb="FFFFFFFF"/>
      <x:name val="Carlito"/>
    </x:font>
    <x:font>
      <x:b/>
      <x:sz val="11"/>
      <x:color rgb="FF59635D"/>
      <x:name val="Carlito"/>
    </x:font>
    <x:font>
      <x:b/>
      <x:sz val="18"/>
      <x:color rgb="FF245A36"/>
      <x:name val="Carlito"/>
    </x:font>
    <x:font>
      <x:b/>
      <x:sz val="18"/>
      <x:color rgb="FFB86B2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201C"/>
      </x:patternFill>
    </x:fill>
    <x:fill>
      <x:patternFill patternType="solid">
        <x:fgColor rgb="FFEEF3EB"/>
      </x:patternFill>
    </x:fill>
    <x:fill>
      <x:patternFill patternType="solid">
        <x:fgColor rgb="FF2F7446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245A36"/>
      </x:left>
      <x:right style="thin">
        <x:color rgb="FF245A36"/>
      </x:right>
      <x:top style="thin">
        <x:color rgb="FF245A36"/>
      </x:top>
      <x:bottom style="thin">
        <x:color rgb="FF245A36"/>
      </x:bottom>
    </x:border>
    <x:border>
      <x:left style="thin">
        <x:color rgb="FFD9DED8"/>
      </x:left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left style="medium">
        <x:color rgb="FFD9DED8"/>
      </x:left>
      <x:top style="medium">
        <x:color rgb="FFD9DED8"/>
      </x:top>
    </x:border>
    <x:border>
      <x:right style="medium">
        <x:color rgb="FFD9DED8"/>
      </x:right>
      <x:top style="medium">
        <x:color rgb="FFD9DED8"/>
      </x:top>
    </x:border>
    <x:border>
      <x:left style="medium">
        <x:color rgb="FFD9DED8"/>
      </x:left>
      <x:bottom style="medium">
        <x:color rgb="FFD9DED8"/>
      </x:bottom>
    </x:border>
    <x:border>
      <x:right style="medium">
        <x:color rgb="FFD9DED8"/>
      </x:right>
      <x:bottom style="medium">
        <x:color rgb="FFD9DED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201" fontId="7" fillId="5" borderId="5" xfId="0" applyNumberFormat="1" applyFont="1" applyFill="1" applyBorder="1" applyAlignment="1">
      <x:alignment horizontal="center" vertical="center"/>
    </x:xf>
    <x:xf numFmtId="201" fontId="7" fillId="5" borderId="6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9a9b786324b33" /><Relationship Type="http://schemas.openxmlformats.org/officeDocument/2006/relationships/theme" Target="/xl/theme/theme1.xml" Id="Rcabefac1bedc4fdd" /><Relationship Type="http://schemas.openxmlformats.org/officeDocument/2006/relationships/sharedStrings" Target="/xl/sharedStrings.xml" Id="Rd29099d06cbd414c" /><Relationship Type="http://schemas.openxmlformats.org/officeDocument/2006/relationships/worksheet" Target="/xl/worksheets/sheet1.xml" Id="Rb9d01ca1983d4ee4" /><Relationship Type="http://schemas.openxmlformats.org/officeDocument/2006/relationships/worksheet" Target="/xl/worksheets/sheet2.xml" Id="R75eb2dbf19884705" /><Relationship Type="http://schemas.openxmlformats.org/officeDocument/2006/relationships/worksheet" Target="/xl/worksheets/sheet3.xml" Id="Ra1f7de70b2ef4f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43422aedfa43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Channel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'Dashboard'!$A$8:$A$11</c:f>
              <c:strCache>
                <c:ptCount val="0"/>
              </c:strCache>
            </c:strRef>
          </c:cat>
          <c:val>
            <c:numRef>
              <c:f>'Dashboard'!$B$8:$B$11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3422aedfa43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Export" displayName="RawExport" ref="A4:I14" headerRowCount="1">
  <x:tableColumns count="9">
    <x:tableColumn id="1" name="Order"/>
    <x:tableColumn id="2" name="date"/>
    <x:tableColumn id="3" name="Product"/>
    <x:tableColumn id="4" name="REGION"/>
    <x:tableColumn id="5" name="channel"/>
    <x:tableColumn id="6" name="qty"/>
    <x:tableColumn id="7" name="price"/>
    <x:tableColumn id="8" name="status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leanedOrders" displayName="CleanedOrders" ref="A4:I14" headerRowCount="1">
  <x:tableColumns count="9">
    <x:tableColumn id="1" name="Date"/>
    <x:tableColumn id="2" name="Order ID"/>
    <x:tableColumn id="3" name="Region"/>
    <x:tableColumn id="4" name="Channel"/>
    <x:tableColumn id="5" name="Product"/>
    <x:tableColumn id="6" name="Units"/>
    <x:tableColumn id="7" name="Unit Price"/>
    <x:tableColumn id="8" name="Revenu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7af127c5474e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7a458d6c5e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7dd4320de6a4f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4" hidden="0" customWidth="1"/>
    <x:col min="3" max="3" width="21" hidden="0" customWidth="1"/>
    <x:col min="4" max="4" width="11.5" hidden="0" customWidth="1"/>
    <x:col min="5" max="5" width="12.5" hidden="0" customWidth="1"/>
    <x:col min="6" max="6" width="8" hidden="0" customWidth="1"/>
    <x:col min="7" max="7" width="9.75" hidden="0" customWidth="1"/>
    <x:col min="8" max="8" width="11.5" hidden="0" customWidth="1"/>
    <x:col min="9" max="9" width="23.75" hidden="0" customWidth="1"/>
  </x:cols>
  <x:sheetData>
    <x:row r="1" ht="27" customHeight="1">
      <x:c r="A1" s="3" t="str">
        <x:v>Before: messy order export</x:v>
      </x:c>
      <x:c r="B1" s="3" t="str">
        <x:v>Before: messy order export</x:v>
      </x:c>
      <x:c r="C1" s="3" t="str">
        <x:v>Before: messy order export</x:v>
      </x:c>
      <x:c r="D1" s="3" t="str">
        <x:v>Before: messy order export</x:v>
      </x:c>
      <x:c r="E1" s="3" t="str">
        <x:v>Before: messy order export</x:v>
      </x:c>
      <x:c r="F1" s="3" t="str">
        <x:v>Before: messy order export</x:v>
      </x:c>
      <x:c r="G1" s="3" t="str">
        <x:v>Before: messy order export</x:v>
      </x:c>
      <x:c r="H1" s="3" t="str">
        <x:v>Before: messy order export</x:v>
      </x:c>
      <x:c r="I1" s="3" t="str">
        <x:v>Before: messy order export</x:v>
      </x:c>
    </x:row>
    <x:row r="2" ht="33" customHeight="1">
      <x:c r="A2" s="7" t="str">
        <x:v>Typical source file: inconsistent product names, date formats, statuses, currency text, and notes mixed into the data.</x:v>
      </x:c>
      <x:c r="B2" s="7" t="str">
        <x:v>Typical source file: inconsistent product names, date formats, statuses, currency text, and notes mixed into the data.</x:v>
      </x:c>
      <x:c r="C2" s="7" t="str">
        <x:v>Typical source file: inconsistent product names, date formats, statuses, currency text, and notes mixed into the data.</x:v>
      </x:c>
      <x:c r="D2" s="7" t="str">
        <x:v>Typical source file: inconsistent product names, date formats, statuses, currency text, and notes mixed into the data.</x:v>
      </x:c>
      <x:c r="E2" s="7" t="str">
        <x:v>Typical source file: inconsistent product names, date formats, statuses, currency text, and notes mixed into the data.</x:v>
      </x:c>
      <x:c r="F2" s="7" t="str">
        <x:v>Typical source file: inconsistent product names, date formats, statuses, currency text, and notes mixed into the data.</x:v>
      </x:c>
      <x:c r="G2" s="7" t="str">
        <x:v>Typical source file: inconsistent product names, date formats, statuses, currency text, and notes mixed into the data.</x:v>
      </x:c>
      <x:c r="H2" s="7" t="str">
        <x:v>Typical source file: inconsistent product names, date formats, statuses, currency text, and notes mixed into the data.</x:v>
      </x:c>
      <x:c r="I2" s="7" t="str">
        <x:v>Typical source file: inconsistent product names, date formats, statuses, currency text, and notes mixed into the data.</x:v>
      </x:c>
    </x:row>
    <x:row r="4">
      <x:c r="A4" s="11" t="str">
        <x:v>Order</x:v>
      </x:c>
      <x:c r="B4" s="11" t="str">
        <x:v>date</x:v>
      </x:c>
      <x:c r="C4" s="11" t="str">
        <x:v>Product</x:v>
      </x:c>
      <x:c r="D4" s="11" t="str">
        <x:v>REGION</x:v>
      </x:c>
      <x:c r="E4" s="11" t="str">
        <x:v>channel</x:v>
      </x:c>
      <x:c r="F4" s="11" t="str">
        <x:v>qty</x:v>
      </x:c>
      <x:c r="G4" s="11" t="str">
        <x:v>price</x:v>
      </x:c>
      <x:c r="H4" s="11" t="str">
        <x:v>status</x:v>
      </x:c>
      <x:c r="I4" s="11" t="str">
        <x:v>notes</x:v>
      </x:c>
    </x:row>
    <x:row r="5">
      <x:c r="A5" s="16" t="str">
        <x:v>1001</x:v>
      </x:c>
      <x:c r="B5" s="16" t="str">
        <x:v>6/1/26</x:v>
      </x:c>
      <x:c r="C5" s="16" t="str">
        <x:v>Starter plan</x:v>
      </x:c>
      <x:c r="D5" s="16" t="str">
        <x:v>west</x:v>
      </x:c>
      <x:c r="E5" s="16" t="str">
        <x:v>web</x:v>
      </x:c>
      <x:c r="F5" s="16" t="str">
        <x:v>2</x:v>
      </x:c>
      <x:c r="G5" s="16" t="str">
        <x:v>$49</x:v>
      </x:c>
      <x:c r="H5" s="16" t="str">
        <x:v>done</x:v>
      </x:c>
      <x:c r="I5" s="16" t="str">
        <x:v>ok</x:v>
      </x:c>
    </x:row>
    <x:row r="6">
      <x:c r="A6" s="16" t="str">
        <x:v>1002</x:v>
      </x:c>
      <x:c r="B6" s="16" t="str">
        <x:v>2026-06-01</x:v>
      </x:c>
      <x:c r="C6" s="16" t="str">
        <x:v>Starter Plan </x:v>
      </x:c>
      <x:c r="D6" s="16" t="str">
        <x:v>West</x:v>
      </x:c>
      <x:c r="E6" s="16" t="str">
        <x:v>Email</x:v>
      </x:c>
      <x:c r="F6" s="16" t="str">
        <x:v>1</x:v>
      </x:c>
      <x:c r="G6" s="16" t="str">
        <x:v>49 usd</x:v>
      </x:c>
      <x:c r="H6" s="16" t="str">
        <x:v>complete</x:v>
      </x:c>
      <x:c r="I6" s="16" t="str"/>
    </x:row>
    <x:row r="7">
      <x:c r="A7" s="16" t="str">
        <x:v>1003</x:v>
      </x:c>
      <x:c r="B7" s="16" t="str">
        <x:v>Jun 1 2026</x:v>
      </x:c>
      <x:c r="C7" s="16" t="str">
        <x:v>landing-page</x:v>
      </x:c>
      <x:c r="D7" s="16" t="str">
        <x:v>east</x:v>
      </x:c>
      <x:c r="E7" s="16" t="str">
        <x:v>web</x:v>
      </x:c>
      <x:c r="F7" s="16" t="str">
        <x:v>1</x:v>
      </x:c>
      <x:c r="G7" s="16" t="str">
        <x:v>$79.00</x:v>
      </x:c>
      <x:c r="H7" s="16" t="str">
        <x:v>DONE</x:v>
      </x:c>
      <x:c r="I7" s="16" t="str">
        <x:v>rush</x:v>
      </x:c>
    </x:row>
    <x:row r="8">
      <x:c r="A8" s="16" t="str">
        <x:v>1004</x:v>
      </x:c>
      <x:c r="B8" s="16" t="str">
        <x:v>06-02-2026</x:v>
      </x:c>
      <x:c r="C8" s="16" t="str">
        <x:v>Resume rewrite</x:v>
      </x:c>
      <x:c r="D8" s="16" t="str">
        <x:v>north</x:v>
      </x:c>
      <x:c r="E8" s="16" t="str">
        <x:v>referral</x:v>
      </x:c>
      <x:c r="F8" s="16" t="str">
        <x:v>1</x:v>
      </x:c>
      <x:c r="G8" s="16" t="str">
        <x:v>39</x:v>
      </x:c>
      <x:c r="H8" s="16" t="str">
        <x:v>paid</x:v>
      </x:c>
      <x:c r="I8" s="16" t="str"/>
    </x:row>
    <x:row r="9">
      <x:c r="A9" s="16" t="str">
        <x:v>1005</x:v>
      </x:c>
      <x:c r="B9" s="16" t="str">
        <x:v>2026/06/02</x:v>
      </x:c>
      <x:c r="C9" s="16" t="str">
        <x:v>CN EN copy</x:v>
      </x:c>
      <x:c r="D9" s="16" t="str">
        <x:v>west</x:v>
      </x:c>
      <x:c r="E9" s="16" t="str">
        <x:v>web</x:v>
      </x:c>
      <x:c r="F9" s="16" t="str">
        <x:v>3</x:v>
      </x:c>
      <x:c r="G9" s="16" t="str">
        <x:v>$49</x:v>
      </x:c>
      <x:c r="H9" s="16" t="str">
        <x:v>review</x:v>
      </x:c>
      <x:c r="I9" s="16" t="str">
        <x:v>needs terms check</x:v>
      </x:c>
    </x:row>
    <x:row r="10">
      <x:c r="A10" s="16" t="str">
        <x:v>1006</x:v>
      </x:c>
      <x:c r="B10" s="16" t="str">
        <x:v>6.2.26</x:v>
      </x:c>
      <x:c r="C10" s="16" t="str">
        <x:v>Spreadsheet cleanup</x:v>
      </x:c>
      <x:c r="D10" s="16" t="str">
        <x:v>South</x:v>
      </x:c>
      <x:c r="E10" s="16" t="str">
        <x:v>Email</x:v>
      </x:c>
      <x:c r="F10" s="16" t="str">
        <x:v>1</x:v>
      </x:c>
      <x:c r="G10" s="16" t="str">
        <x:v>99</x:v>
      </x:c>
      <x:c r="H10" s="16" t="str">
        <x:v>Done</x:v>
      </x:c>
      <x:c r="I10" s="16" t="str"/>
    </x:row>
    <x:row r="11">
      <x:c r="A11" s="16" t="str">
        <x:v>1007</x:v>
      </x:c>
      <x:c r="B11" s="16" t="str">
        <x:v>June 3</x:v>
      </x:c>
      <x:c r="C11" s="16" t="str">
        <x:v>landing page</x:v>
      </x:c>
      <x:c r="D11" s="16" t="str">
        <x:v>east</x:v>
      </x:c>
      <x:c r="E11" s="16" t="str">
        <x:v>web</x:v>
      </x:c>
      <x:c r="F11" s="16" t="str">
        <x:v>2</x:v>
      </x:c>
      <x:c r="G11" s="16" t="str">
        <x:v>$79</x:v>
      </x:c>
      <x:c r="H11" s="16" t="str">
        <x:v>complete</x:v>
      </x:c>
      <x:c r="I11" s="16" t="str">
        <x:v>duplicate client</x:v>
      </x:c>
    </x:row>
    <x:row r="12">
      <x:c r="A12" s="16" t="str">
        <x:v>1008</x:v>
      </x:c>
      <x:c r="B12" s="16" t="str">
        <x:v>2026-06-03</x:v>
      </x:c>
      <x:c r="C12" s="16" t="str">
        <x:v>Resume Rewrite</x:v>
      </x:c>
      <x:c r="D12" s="16" t="str">
        <x:v>north</x:v>
      </x:c>
      <x:c r="E12" s="16" t="str">
        <x:v>manual</x:v>
      </x:c>
      <x:c r="F12" s="16" t="str">
        <x:v>1</x:v>
      </x:c>
      <x:c r="G12" s="16" t="str">
        <x:v>$39</x:v>
      </x:c>
      <x:c r="H12" s="16" t="str">
        <x:v>done</x:v>
      </x:c>
      <x:c r="I12" s="16" t="str"/>
    </x:row>
    <x:row r="13">
      <x:c r="A13" s="16" t="str">
        <x:v>1009</x:v>
      </x:c>
      <x:c r="B13" s="16" t="str">
        <x:v>2026-06-03</x:v>
      </x:c>
      <x:c r="C13" s="16" t="str">
        <x:v>Spreadsheet</x:v>
      </x:c>
      <x:c r="D13" s="16" t="str">
        <x:v>south</x:v>
      </x:c>
      <x:c r="E13" s="16" t="str">
        <x:v>email</x:v>
      </x:c>
      <x:c r="F13" s="16" t="str">
        <x:v>1</x:v>
      </x:c>
      <x:c r="G13" s="16" t="str">
        <x:v>$99</x:v>
      </x:c>
      <x:c r="H13" s="16" t="str">
        <x:v>review</x:v>
      </x:c>
      <x:c r="I13" s="16" t="str">
        <x:v>missing CSV</x:v>
      </x:c>
    </x:row>
    <x:row r="14">
      <x:c r="A14" s="16" t="str">
        <x:v>1010</x:v>
      </x:c>
      <x:c r="B14" s="16" t="str">
        <x:v>6/3/2026</x:v>
      </x:c>
      <x:c r="C14" s="16" t="str">
        <x:v>Product copy</x:v>
      </x:c>
      <x:c r="D14" s="16" t="str">
        <x:v>west</x:v>
      </x:c>
      <x:c r="E14" s="16" t="str">
        <x:v>referral</x:v>
      </x:c>
      <x:c r="F14" s="16" t="str">
        <x:v>2</x:v>
      </x:c>
      <x:c r="G14" s="16" t="str">
        <x:v>$49</x:v>
      </x:c>
      <x:c r="H14" s="16" t="str">
        <x:v>paid</x:v>
      </x:c>
      <x:c r="I14" s="16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87af127c5474e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.25" hidden="0" customWidth="1"/>
    <x:col min="3" max="3" width="11.5" hidden="0" customWidth="1"/>
    <x:col min="4" max="4" width="12" hidden="0" customWidth="1"/>
    <x:col min="5" max="5" width="22.75" hidden="0" customWidth="1"/>
    <x:col min="6" max="6" width="8.25" hidden="0" customWidth="1"/>
    <x:col min="7" max="7" width="11.25" hidden="0" customWidth="1"/>
    <x:col min="8" max="8" width="11.5" hidden="0" customWidth="1"/>
    <x:col min="9" max="9" width="11.5" hidden="0" customWidth="1"/>
  </x:cols>
  <x:sheetData>
    <x:row r="1" ht="27" customHeight="1">
      <x:c r="A1" s="3" t="str">
        <x:v>After: cleaned data table</x:v>
      </x:c>
      <x:c r="B1" s="3" t="str">
        <x:v>After: cleaned data table</x:v>
      </x:c>
      <x:c r="C1" s="3" t="str">
        <x:v>After: cleaned data table</x:v>
      </x:c>
      <x:c r="D1" s="3" t="str">
        <x:v>After: cleaned data table</x:v>
      </x:c>
      <x:c r="E1" s="3" t="str">
        <x:v>After: cleaned data table</x:v>
      </x:c>
      <x:c r="F1" s="3" t="str">
        <x:v>After: cleaned data table</x:v>
      </x:c>
      <x:c r="G1" s="3" t="str">
        <x:v>After: cleaned data table</x:v>
      </x:c>
      <x:c r="H1" s="3" t="str">
        <x:v>After: cleaned data table</x:v>
      </x:c>
      <x:c r="I1" s="3" t="str">
        <x:v>After: cleaned data table</x:v>
      </x:c>
    </x:row>
    <x:row r="2" ht="33" customHeight="1">
      <x:c r="A2" s="7" t="str">
        <x:v>Normalized names, dates, channels, and statuses. Revenue is formula-backed so edits to units or unit price update totals.</x:v>
      </x:c>
      <x:c r="B2" s="7" t="str">
        <x:v>Normalized names, dates, channels, and statuses. Revenue is formula-backed so edits to units or unit price update totals.</x:v>
      </x:c>
      <x:c r="C2" s="7" t="str">
        <x:v>Normalized names, dates, channels, and statuses. Revenue is formula-backed so edits to units or unit price update totals.</x:v>
      </x:c>
      <x:c r="D2" s="7" t="str">
        <x:v>Normalized names, dates, channels, and statuses. Revenue is formula-backed so edits to units or unit price update totals.</x:v>
      </x:c>
      <x:c r="E2" s="7" t="str">
        <x:v>Normalized names, dates, channels, and statuses. Revenue is formula-backed so edits to units or unit price update totals.</x:v>
      </x:c>
      <x:c r="F2" s="7" t="str">
        <x:v>Normalized names, dates, channels, and statuses. Revenue is formula-backed so edits to units or unit price update totals.</x:v>
      </x:c>
      <x:c r="G2" s="7" t="str">
        <x:v>Normalized names, dates, channels, and statuses. Revenue is formula-backed so edits to units or unit price update totals.</x:v>
      </x:c>
      <x:c r="H2" s="7" t="str">
        <x:v>Normalized names, dates, channels, and statuses. Revenue is formula-backed so edits to units or unit price update totals.</x:v>
      </x:c>
      <x:c r="I2" s="7" t="str">
        <x:v>Normalized names, dates, channels, and statuses. Revenue is formula-backed so edits to units or unit price update totals.</x:v>
      </x:c>
    </x:row>
    <x:row r="4">
      <x:c r="A4" s="11" t="str">
        <x:v>Date</x:v>
      </x:c>
      <x:c r="B4" s="11" t="str">
        <x:v>Order ID</x:v>
      </x:c>
      <x:c r="C4" s="11" t="str">
        <x:v>Region</x:v>
      </x:c>
      <x:c r="D4" s="11" t="str">
        <x:v>Channel</x:v>
      </x:c>
      <x:c r="E4" s="11" t="str">
        <x:v>Product</x:v>
      </x:c>
      <x:c r="F4" s="11" t="str">
        <x:v>Units</x:v>
      </x:c>
      <x:c r="G4" s="11" t="str">
        <x:v>Unit Price</x:v>
      </x:c>
      <x:c r="H4" s="11" t="str">
        <x:v>Revenue</x:v>
      </x:c>
      <x:c r="I4" s="11" t="str">
        <x:v>Status</x:v>
      </x:c>
    </x:row>
    <x:row r="5">
      <x:c r="A5" s="17" t="n">
        <x:v>46174</x:v>
      </x:c>
      <x:c r="B5" s="16" t="str">
        <x:v>1001</x:v>
      </x:c>
      <x:c r="C5" s="16" t="str">
        <x:v>West</x:v>
      </x:c>
      <x:c r="D5" s="16" t="str">
        <x:v>Web</x:v>
      </x:c>
      <x:c r="E5" s="16" t="str">
        <x:v>Spreadsheet cleanup</x:v>
      </x:c>
      <x:c r="F5" s="16" t="n">
        <x:v>2</x:v>
      </x:c>
      <x:c r="G5" s="18" t="n">
        <x:v>49</x:v>
      </x:c>
      <x:c r="H5" s="18" t="n">
        <x:f>F5*G5</x:f>
        <x:v>98</x:v>
      </x:c>
      <x:c r="I5" s="16" t="str">
        <x:v>Complete</x:v>
      </x:c>
    </x:row>
    <x:row r="6">
      <x:c r="A6" s="17" t="n">
        <x:v>46174</x:v>
      </x:c>
      <x:c r="B6" s="16" t="str">
        <x:v>1002</x:v>
      </x:c>
      <x:c r="C6" s="16" t="str">
        <x:v>West</x:v>
      </x:c>
      <x:c r="D6" s="16" t="str">
        <x:v>Email</x:v>
      </x:c>
      <x:c r="E6" s="16" t="str">
        <x:v>Spreadsheet cleanup</x:v>
      </x:c>
      <x:c r="F6" s="16" t="n">
        <x:v>1</x:v>
      </x:c>
      <x:c r="G6" s="18" t="n">
        <x:v>49</x:v>
      </x:c>
      <x:c r="H6" s="18" t="n">
        <x:f>F6*G6</x:f>
        <x:v>49</x:v>
      </x:c>
      <x:c r="I6" s="16" t="str">
        <x:v>Complete</x:v>
      </x:c>
    </x:row>
    <x:row r="7">
      <x:c r="A7" s="17" t="n">
        <x:v>46174</x:v>
      </x:c>
      <x:c r="B7" s="16" t="str">
        <x:v>1003</x:v>
      </x:c>
      <x:c r="C7" s="16" t="str">
        <x:v>East</x:v>
      </x:c>
      <x:c r="D7" s="16" t="str">
        <x:v>Web</x:v>
      </x:c>
      <x:c r="E7" s="16" t="str">
        <x:v>Landing page polish</x:v>
      </x:c>
      <x:c r="F7" s="16" t="n">
        <x:v>1</x:v>
      </x:c>
      <x:c r="G7" s="18" t="n">
        <x:v>79</x:v>
      </x:c>
      <x:c r="H7" s="18" t="n">
        <x:f>F7*G7</x:f>
        <x:v>79</x:v>
      </x:c>
      <x:c r="I7" s="16" t="str">
        <x:v>Complete</x:v>
      </x:c>
    </x:row>
    <x:row r="8">
      <x:c r="A8" s="17" t="n">
        <x:v>46175</x:v>
      </x:c>
      <x:c r="B8" s="16" t="str">
        <x:v>1004</x:v>
      </x:c>
      <x:c r="C8" s="16" t="str">
        <x:v>North</x:v>
      </x:c>
      <x:c r="D8" s="16" t="str">
        <x:v>Referral</x:v>
      </x:c>
      <x:c r="E8" s="16" t="str">
        <x:v>Resume rewrite</x:v>
      </x:c>
      <x:c r="F8" s="16" t="n">
        <x:v>1</x:v>
      </x:c>
      <x:c r="G8" s="18" t="n">
        <x:v>39</x:v>
      </x:c>
      <x:c r="H8" s="18" t="n">
        <x:f>F8*G8</x:f>
        <x:v>39</x:v>
      </x:c>
      <x:c r="I8" s="16" t="str">
        <x:v>Complete</x:v>
      </x:c>
    </x:row>
    <x:row r="9">
      <x:c r="A9" s="17" t="n">
        <x:v>46175</x:v>
      </x:c>
      <x:c r="B9" s="16" t="str">
        <x:v>1005</x:v>
      </x:c>
      <x:c r="C9" s="16" t="str">
        <x:v>West</x:v>
      </x:c>
      <x:c r="D9" s="16" t="str">
        <x:v>Web</x:v>
      </x:c>
      <x:c r="E9" s="16" t="str">
        <x:v>Chinese-English copy</x:v>
      </x:c>
      <x:c r="F9" s="16" t="n">
        <x:v>3</x:v>
      </x:c>
      <x:c r="G9" s="18" t="n">
        <x:v>49</x:v>
      </x:c>
      <x:c r="H9" s="18" t="n">
        <x:f>F9*G9</x:f>
        <x:v>147</x:v>
      </x:c>
      <x:c r="I9" s="16" t="str">
        <x:v>Review</x:v>
      </x:c>
    </x:row>
    <x:row r="10">
      <x:c r="A10" s="17" t="n">
        <x:v>46175</x:v>
      </x:c>
      <x:c r="B10" s="16" t="str">
        <x:v>1006</x:v>
      </x:c>
      <x:c r="C10" s="16" t="str">
        <x:v>South</x:v>
      </x:c>
      <x:c r="D10" s="16" t="str">
        <x:v>Email</x:v>
      </x:c>
      <x:c r="E10" s="16" t="str">
        <x:v>Spreadsheet cleanup</x:v>
      </x:c>
      <x:c r="F10" s="16" t="n">
        <x:v>1</x:v>
      </x:c>
      <x:c r="G10" s="18" t="n">
        <x:v>99</x:v>
      </x:c>
      <x:c r="H10" s="18" t="n">
        <x:f>F10*G10</x:f>
        <x:v>99</x:v>
      </x:c>
      <x:c r="I10" s="16" t="str">
        <x:v>Complete</x:v>
      </x:c>
    </x:row>
    <x:row r="11">
      <x:c r="A11" s="17" t="n">
        <x:v>46176</x:v>
      </x:c>
      <x:c r="B11" s="16" t="str">
        <x:v>1007</x:v>
      </x:c>
      <x:c r="C11" s="16" t="str">
        <x:v>East</x:v>
      </x:c>
      <x:c r="D11" s="16" t="str">
        <x:v>Web</x:v>
      </x:c>
      <x:c r="E11" s="16" t="str">
        <x:v>Landing page polish</x:v>
      </x:c>
      <x:c r="F11" s="16" t="n">
        <x:v>2</x:v>
      </x:c>
      <x:c r="G11" s="18" t="n">
        <x:v>79</x:v>
      </x:c>
      <x:c r="H11" s="18" t="n">
        <x:f>F11*G11</x:f>
        <x:v>158</x:v>
      </x:c>
      <x:c r="I11" s="16" t="str">
        <x:v>Complete</x:v>
      </x:c>
    </x:row>
    <x:row r="12">
      <x:c r="A12" s="17" t="n">
        <x:v>46176</x:v>
      </x:c>
      <x:c r="B12" s="16" t="str">
        <x:v>1008</x:v>
      </x:c>
      <x:c r="C12" s="16" t="str">
        <x:v>North</x:v>
      </x:c>
      <x:c r="D12" s="16" t="str">
        <x:v>Manual</x:v>
      </x:c>
      <x:c r="E12" s="16" t="str">
        <x:v>Resume rewrite</x:v>
      </x:c>
      <x:c r="F12" s="16" t="n">
        <x:v>1</x:v>
      </x:c>
      <x:c r="G12" s="18" t="n">
        <x:v>39</x:v>
      </x:c>
      <x:c r="H12" s="18" t="n">
        <x:f>F12*G12</x:f>
        <x:v>39</x:v>
      </x:c>
      <x:c r="I12" s="16" t="str">
        <x:v>Complete</x:v>
      </x:c>
    </x:row>
    <x:row r="13">
      <x:c r="A13" s="17" t="n">
        <x:v>46176</x:v>
      </x:c>
      <x:c r="B13" s="16" t="str">
        <x:v>1009</x:v>
      </x:c>
      <x:c r="C13" s="16" t="str">
        <x:v>South</x:v>
      </x:c>
      <x:c r="D13" s="16" t="str">
        <x:v>Email</x:v>
      </x:c>
      <x:c r="E13" s="16" t="str">
        <x:v>Spreadsheet cleanup</x:v>
      </x:c>
      <x:c r="F13" s="16" t="n">
        <x:v>1</x:v>
      </x:c>
      <x:c r="G13" s="18" t="n">
        <x:v>99</x:v>
      </x:c>
      <x:c r="H13" s="18" t="n">
        <x:f>F13*G13</x:f>
        <x:v>99</x:v>
      </x:c>
      <x:c r="I13" s="16" t="str">
        <x:v>Review</x:v>
      </x:c>
    </x:row>
    <x:row r="14">
      <x:c r="A14" s="17" t="n">
        <x:v>46176</x:v>
      </x:c>
      <x:c r="B14" s="16" t="str">
        <x:v>1010</x:v>
      </x:c>
      <x:c r="C14" s="16" t="str">
        <x:v>West</x:v>
      </x:c>
      <x:c r="D14" s="16" t="str">
        <x:v>Referral</x:v>
      </x:c>
      <x:c r="E14" s="16" t="str">
        <x:v>Chinese-English copy</x:v>
      </x:c>
      <x:c r="F14" s="16" t="n">
        <x:v>2</x:v>
      </x:c>
      <x:c r="G14" s="18" t="n">
        <x:v>49</x:v>
      </x:c>
      <x:c r="H14" s="18" t="n">
        <x:f>F14*G14</x:f>
        <x:v>98</x:v>
      </x:c>
      <x:c r="I14" s="16" t="str">
        <x:v>Complete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67a458d6c5e4c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22.5" hidden="0" customWidth="1"/>
    <x:col min="3" max="3" width="35" hidden="0" customWidth="1"/>
    <x:col min="4" max="4" width="11.5" hidden="0" customWidth="1"/>
    <x:col min="5" max="5" width="11.5" hidden="0" customWidth="1"/>
    <x:col min="6" max="6" width="3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</x:cols>
  <x:sheetData>
    <x:row r="1" ht="31.5" customHeight="1">
      <x:c r="A1" s="21" t="str">
        <x:v>Spreadsheet Cleanup Sample</x:v>
      </x:c>
      <x:c r="B1" s="21" t="str">
        <x:v>Spreadsheet Cleanup Sample</x:v>
      </x:c>
      <x:c r="C1" s="21" t="str">
        <x:v>Spreadsheet Cleanup Sample</x:v>
      </x:c>
      <x:c r="D1" s="21" t="str">
        <x:v>Spreadsheet Cleanup Sample</x:v>
      </x:c>
      <x:c r="E1" s="21" t="str">
        <x:v>Spreadsheet Cleanup Sample</x:v>
      </x:c>
      <x:c r="F1" s="21" t="str">
        <x:v>Spreadsheet Cleanup Sample</x:v>
      </x:c>
      <x:c r="G1" s="21" t="str">
        <x:v>Spreadsheet Cleanup Sample</x:v>
      </x:c>
      <x:c r="H1" s="21" t="str">
        <x:v>Spreadsheet Cleanup Sample</x:v>
      </x:c>
      <x:c r="I1" s="21" t="str">
        <x:v>Spreadsheet Cleanup Sample</x:v>
      </x:c>
      <x:c r="J1" s="21" t="str">
        <x:v>Spreadsheet Cleanup Sample</x:v>
      </x:c>
    </x:row>
    <x:row r="3">
      <x:c r="A3" s="36" t="str">
        <x:v>Total revenue</x:v>
      </x:c>
      <x:c r="B3" s="37" t="str">
        <x:v>Total revenue</x:v>
      </x:c>
      <x:c r="D3" s="36" t="str">
        <x:v>Complete revenue</x:v>
      </x:c>
      <x:c r="E3" s="37" t="str">
        <x:v>Complete revenue</x:v>
      </x:c>
      <x:c r="G3" s="36" t="str">
        <x:v>Rows needing review</x:v>
      </x:c>
      <x:c r="H3" s="37" t="str">
        <x:v>Rows needing review</x:v>
      </x:c>
    </x:row>
    <x:row r="4">
      <x:c r="A4" s="40" t="n">
        <x:f>SUM('Cleaned Data'!H5:H14)</x:f>
        <x:v>905</x:v>
      </x:c>
      <x:c r="B4" s="41"/>
      <x:c r="D4" s="40" t="n">
        <x:f>SUMIF('Cleaned Data'!I5:I14,"Complete",'Cleaned Data'!H5:H14)</x:f>
        <x:v>659</x:v>
      </x:c>
      <x:c r="E4" s="41"/>
      <x:c r="G4" s="42" t="n">
        <x:f>COUNTIF('Cleaned Data'!I5:I14,"Review")</x:f>
        <x:v>2</x:v>
      </x:c>
      <x:c r="H4" s="43"/>
    </x:row>
    <x:row r="7">
      <x:c r="A7" s="11" t="str">
        <x:v>Channel</x:v>
      </x:c>
      <x:c r="B7" s="11" t="str">
        <x:v>Revenue</x:v>
      </x:c>
    </x:row>
    <x:row r="8">
      <x:c r="A8" s="16" t="str">
        <x:v>Web</x:v>
      </x:c>
      <x:c r="B8" s="18" t="n">
        <x:f>SUMIF('Cleaned Data'!D5:D14,A8,'Cleaned Data'!H5:H14)</x:f>
        <x:v>482</x:v>
      </x:c>
    </x:row>
    <x:row r="9">
      <x:c r="A9" s="16" t="str">
        <x:v>Email</x:v>
      </x:c>
      <x:c r="B9" s="18" t="n">
        <x:f>SUMIF('Cleaned Data'!D6:D15,A9,'Cleaned Data'!H6:H15)</x:f>
        <x:v>247</x:v>
      </x:c>
    </x:row>
    <x:row r="10">
      <x:c r="A10" s="16" t="str">
        <x:v>Referral</x:v>
      </x:c>
      <x:c r="B10" s="18" t="n">
        <x:f>SUMIF('Cleaned Data'!D7:D16,A10,'Cleaned Data'!H7:H16)</x:f>
        <x:v>137</x:v>
      </x:c>
    </x:row>
    <x:row r="11">
      <x:c r="A11" s="16" t="str">
        <x:v>Manual</x:v>
      </x:c>
      <x:c r="B11" s="18" t="n">
        <x:f>SUMIF('Cleaned Data'!D8:D17,A11,'Cleaned Data'!H8:H17)</x:f>
        <x:v>39</x:v>
      </x:c>
    </x:row>
    <x:row r="14">
      <x:c r="A14" s="11" t="str">
        <x:v>What changed</x:v>
      </x:c>
      <x:c r="B14" s="11" t="str">
        <x:v>What changed</x:v>
      </x:c>
      <x:c r="C14" s="11" t="str">
        <x:v>What changed</x:v>
      </x:c>
    </x:row>
    <x:row r="15">
      <x:c r="A15" s="16" t="str">
        <x:v>1</x:v>
      </x:c>
      <x:c r="B15" s="16" t="str">
        <x:v>Standardized product names and statuses</x:v>
      </x:c>
      <x:c r="C15" s="16" t="str">
        <x:v>Before had six naming/status variants.</x:v>
      </x:c>
    </x:row>
    <x:row r="16">
      <x:c r="A16" s="16" t="str">
        <x:v>2</x:v>
      </x:c>
      <x:c r="B16" s="16" t="str">
        <x:v>Converted price text into numeric values</x:v>
      </x:c>
      <x:c r="C16" s="16" t="str">
        <x:v>Revenue now recalculates from units and price.</x:v>
      </x:c>
    </x:row>
    <x:row r="17">
      <x:c r="A17" s="16" t="str">
        <x:v>3</x:v>
      </x:c>
      <x:c r="B17" s="16" t="str">
        <x:v>Added review queue</x:v>
      </x:c>
      <x:c r="C17" s="16" t="str">
        <x:v>Two rows are flagged instead of hidden in notes.</x:v>
      </x:c>
    </x:row>
    <x:row r="18">
      <x:c r="A18" s="16" t="str">
        <x:v>4</x:v>
      </x:c>
      <x:c r="B18" s="16" t="str">
        <x:v>Built a small dashboard</x:v>
      </x:c>
      <x:c r="C18" s="16" t="str">
        <x:v>Owner can scan total, completed, and issue count.</x:v>
      </x:c>
    </x:row>
  </x:sheetData>
  <x:mergeCells>
    <x:mergeCell ref="A1:J1"/>
    <x:mergeCell ref="A3:B3"/>
    <x:mergeCell ref="D3:E3"/>
    <x:mergeCell ref="G3:H3"/>
    <x:mergeCell ref="A4:B4"/>
    <x:mergeCell ref="D4:E4"/>
    <x:mergeCell ref="G4:H4"/>
    <x:mergeCell ref="A14:C14"/>
  </x:mergeCells>
  <x:pageMargins left="0.7" right="0.7" top="0.75" bottom="0.75" header="0.3" footer="0.3"/>
  <x:drawing xmlns:r="http://schemas.openxmlformats.org/officeDocument/2006/relationships" r:id="Rb7dd4320de6a4f04"/>
</x:worksheet>
</file>